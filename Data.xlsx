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935288_cognizant_com/Documents/Microsoft Teams Chat Files/"/>
    </mc:Choice>
  </mc:AlternateContent>
  <xr:revisionPtr revIDLastSave="160" documentId="13_ncr:1_{63ABE21F-FCF0-4159-8C64-0ACED7BEDDCD}" xr6:coauthVersionLast="47" xr6:coauthVersionMax="47" xr10:uidLastSave="{747D2F8D-6170-447C-B82E-F55563242307}"/>
  <bookViews>
    <workbookView xWindow="-110" yWindow="-110" windowWidth="19420" windowHeight="10300" firstSheet="1" activeTab="1" xr2:uid="{00000000-000D-0000-FFFF-FFFF00000000}"/>
  </bookViews>
  <sheets>
    <sheet name="CASS_Coverage" sheetId="1" r:id="rId1"/>
    <sheet name="CASS_Summary_Report" sheetId="2" r:id="rId2"/>
    <sheet name="N-Origination_Coverage" sheetId="3" r:id="rId3"/>
    <sheet name="Summary_Report_N-Originat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31" i="1"/>
  <c r="C30" i="1"/>
  <c r="C29" i="1"/>
  <c r="C28" i="1"/>
  <c r="D28" i="1" s="1"/>
  <c r="C27" i="1"/>
  <c r="D29" i="1" s="1"/>
  <c r="D30" i="1" s="1"/>
  <c r="D31" i="1" s="1"/>
  <c r="C26" i="1"/>
  <c r="D26" i="1" s="1"/>
  <c r="D27" i="1" l="1"/>
</calcChain>
</file>

<file path=xl/sharedStrings.xml><?xml version="1.0" encoding="utf-8"?>
<sst xmlns="http://schemas.openxmlformats.org/spreadsheetml/2006/main" count="95" uniqueCount="79">
  <si>
    <t>Total Script In All Domain</t>
  </si>
  <si>
    <t>Domain</t>
  </si>
  <si>
    <t>TOTAL
SCRIPTS</t>
  </si>
  <si>
    <t>US/CAN</t>
  </si>
  <si>
    <t>PLANNED
SCRIPTS</t>
  </si>
  <si>
    <t>DIS
CONTINUED</t>
  </si>
  <si>
    <t>%
COMPLETE</t>
  </si>
  <si>
    <t>Smoke</t>
  </si>
  <si>
    <t>USA - 127</t>
  </si>
  <si>
    <t>CAN - 122</t>
  </si>
  <si>
    <t>GUI</t>
  </si>
  <si>
    <t>USA - 2049</t>
  </si>
  <si>
    <t>CAN - 508</t>
  </si>
  <si>
    <t>WUI</t>
  </si>
  <si>
    <t>USA 172</t>
  </si>
  <si>
    <t>CAN - 31</t>
  </si>
  <si>
    <t>STARS(USA)</t>
  </si>
  <si>
    <t>STARS(CAN)</t>
  </si>
  <si>
    <t>Total Automated Script</t>
  </si>
  <si>
    <t>Total Test Cases/Scripts</t>
  </si>
  <si>
    <t>Test Cases in Scope</t>
  </si>
  <si>
    <t>Discontinued</t>
  </si>
  <si>
    <t>Pass Rate</t>
  </si>
  <si>
    <t>STARS</t>
  </si>
  <si>
    <t>Hybrid Framework Implementation Progress - STARS</t>
  </si>
  <si>
    <t>TC Progress</t>
  </si>
  <si>
    <t>Process Flow</t>
  </si>
  <si>
    <t>Coverage %</t>
  </si>
  <si>
    <t>Cummulative Coverage %</t>
  </si>
  <si>
    <t>Total Process Flows</t>
  </si>
  <si>
    <t>Phase 1</t>
  </si>
  <si>
    <t>Phase 2</t>
  </si>
  <si>
    <t>Phase 3</t>
  </si>
  <si>
    <t>Phase 4</t>
  </si>
  <si>
    <t>Phase 5</t>
  </si>
  <si>
    <t>Phase 6</t>
  </si>
  <si>
    <t>Remaining</t>
  </si>
  <si>
    <t>AI Use In Project</t>
  </si>
  <si>
    <t>Project Name</t>
  </si>
  <si>
    <t>No Flow</t>
  </si>
  <si>
    <t>Completed</t>
  </si>
  <si>
    <t>%Complete</t>
  </si>
  <si>
    <t>AI Name</t>
  </si>
  <si>
    <t>HCFI Letter Valiadion</t>
  </si>
  <si>
    <t>Gemini 2.5 Flash</t>
  </si>
  <si>
    <t>Automation Leverage</t>
  </si>
  <si>
    <t>Task Type</t>
  </si>
  <si>
    <t>Total Effort (Hours)</t>
  </si>
  <si>
    <t>Automated Effort (Hours)</t>
  </si>
  <si>
    <t>Manual Effort (Hours)</t>
  </si>
  <si>
    <t>Automation Leverage %</t>
  </si>
  <si>
    <t>New Enhancement &amp;Maintenance &amp; Debugging Script</t>
  </si>
  <si>
    <t>Regression Suite Update</t>
  </si>
  <si>
    <r>
      <rPr>
        <sz val="11"/>
        <color rgb="FF000000"/>
        <rFont val="Calibri"/>
        <family val="2"/>
        <scheme val="minor"/>
      </rPr>
      <t xml:space="preserve">                                                                                                                             </t>
    </r>
    <r>
      <rPr>
        <b/>
        <u/>
        <sz val="20"/>
        <color rgb="FFFF0000"/>
        <rFont val="Calibri"/>
        <family val="2"/>
        <scheme val="minor"/>
      </rPr>
      <t xml:space="preserve">Automation Project – Summary Report
</t>
    </r>
    <r>
      <rPr>
        <b/>
        <u/>
        <sz val="16"/>
        <color rgb="FF000000"/>
        <rFont val="Calibri"/>
        <family val="2"/>
        <scheme val="minor"/>
      </rPr>
      <t xml:space="preserve">Automation Tool Overview - 
</t>
    </r>
    <r>
      <rPr>
        <sz val="14"/>
        <color rgb="FF000000"/>
        <rFont val="Calibri"/>
        <family val="2"/>
        <scheme val="minor"/>
      </rPr>
      <t xml:space="preserve">In the Honda Finance project </t>
    </r>
    <r>
      <rPr>
        <b/>
        <u/>
        <sz val="14"/>
        <color rgb="FF000000"/>
        <rFont val="Calibri"/>
        <family val="2"/>
        <scheme val="minor"/>
      </rPr>
      <t>CASS</t>
    </r>
    <r>
      <rPr>
        <sz val="14"/>
        <color rgb="FF000000"/>
        <rFont val="Calibri"/>
        <family val="2"/>
        <scheme val="minor"/>
      </rPr>
      <t xml:space="preserve"> (Customer Accounts Servicing System) is a core application used by Honda Finance Corporation (HFC) to manage customer loan. It supports applications for:
• AHFC (American Honda Finance Corporation) – USA
• HCFI (Honda Canada Finance Inc.) – Canada
The application architecture consists of:
• Frontend GUI developed on .NET
• Backend database hosted on Mainframe
• Payment interface integrated with Salesforce
</t>
    </r>
    <r>
      <rPr>
        <b/>
        <u/>
        <sz val="14"/>
        <color rgb="FF000000"/>
        <rFont val="Calibri"/>
        <family val="2"/>
        <scheme val="minor"/>
      </rPr>
      <t>UFT</t>
    </r>
    <r>
      <rPr>
        <sz val="14"/>
        <color rgb="FF000000"/>
        <rFont val="Calibri"/>
        <family val="2"/>
        <scheme val="minor"/>
      </rPr>
      <t xml:space="preserve"> (Unified Functional Testing) is used as the primary automation tool to automate end-to-end business scenarios across CASS and Mainframe systems.
For test management and version control:
</t>
    </r>
    <r>
      <rPr>
        <b/>
        <u/>
        <sz val="14"/>
        <color rgb="FF000000"/>
        <rFont val="Calibri"/>
        <family val="2"/>
        <scheme val="minor"/>
      </rPr>
      <t>ALM</t>
    </r>
    <r>
      <rPr>
        <sz val="14"/>
        <color rgb="FF000000"/>
        <rFont val="Calibri"/>
        <family val="2"/>
        <scheme val="minor"/>
      </rPr>
      <t xml:space="preserve"> (Application Lifecycle Management) is used to manage test cases, test execution, defects, and reporting.
• ALM is also used for storing and maintaining automation scripts and version history.
                                                     </t>
    </r>
  </si>
  <si>
    <r>
      <rPr>
        <sz val="11"/>
        <color rgb="FF000000"/>
        <rFont val="Calibri"/>
        <scheme val="minor"/>
      </rPr>
      <t xml:space="preserve">                                                                                                                                               </t>
    </r>
    <r>
      <rPr>
        <b/>
        <u/>
        <sz val="20"/>
        <color rgb="FFFF0000"/>
        <rFont val="Calibri"/>
        <scheme val="minor"/>
      </rPr>
      <t xml:space="preserve"> Automation Coverage
</t>
    </r>
    <r>
      <rPr>
        <sz val="14"/>
        <color rgb="FF000000"/>
        <rFont val="Calibri"/>
        <scheme val="minor"/>
      </rPr>
      <t xml:space="preserve">The automation framework covers multiple domains including Smoke, GUI, WUI, and STARS with strong script-level and business-flow-level coverage.
• Smoke Domain: 281 total scripts, 249 covered, 32 discontinued, with ~98% pass rate.
• GUI Domain: 3,198 total scripts, 2,557 covered, 641 discontinued, with ~97% pass rate.
• STARS (USA): 556 total scripts, 220 covered, 30 discontinued, with ~45% coverage.
• STARS (Canada): 458 total scripts, 10 covered, 0 discontinued, with ~2% coverage.
STARS consists of 43 end-to-end business process flows implemented using a hybrid automation framework.
• Business Flow Coverage: More than 86% of business flows are automated (37 out of 43), </t>
    </r>
    <r>
      <rPr>
        <b/>
        <sz val="14"/>
        <color rgb="FF000000"/>
        <rFont val="Calibri"/>
        <scheme val="minor"/>
      </rPr>
      <t xml:space="preserve">which is higher then the client's expected target of 80% by March 2026.
</t>
    </r>
    <r>
      <rPr>
        <sz val="14"/>
        <color rgb="FF000000"/>
        <rFont val="Calibri"/>
        <scheme val="minor"/>
      </rPr>
      <t>• Script-Based Coverage:
• STARS (USA): ~45%
• STARS (Canada): ~2%</t>
    </r>
  </si>
  <si>
    <r>
      <t xml:space="preserve">                                                                                                                                                 </t>
    </r>
    <r>
      <rPr>
        <b/>
        <u/>
        <sz val="20"/>
        <color rgb="FFFF0000"/>
        <rFont val="Calibri"/>
        <family val="2"/>
        <scheme val="minor"/>
      </rPr>
      <t>Automation Activities</t>
    </r>
    <r>
      <rPr>
        <sz val="14"/>
        <color theme="1"/>
        <rFont val="Calibri"/>
        <family val="2"/>
        <scheme val="minor"/>
      </rPr>
      <t xml:space="preserve">
• </t>
    </r>
    <r>
      <rPr>
        <b/>
        <sz val="14"/>
        <color theme="1"/>
        <rFont val="Calibri"/>
        <family val="2"/>
        <scheme val="minor"/>
      </rPr>
      <t>Release Execution</t>
    </r>
    <r>
      <rPr>
        <sz val="14"/>
        <color theme="1"/>
        <rFont val="Calibri"/>
        <family val="2"/>
        <scheme val="minor"/>
      </rPr>
      <t xml:space="preserve">: Monthaly releases automation execution is performed for full or partial across Smoke, GUI, WUI, and STARS domains.
• </t>
    </r>
    <r>
      <rPr>
        <b/>
        <sz val="14"/>
        <color theme="1"/>
        <rFont val="Calibri"/>
        <family val="2"/>
        <scheme val="minor"/>
      </rPr>
      <t>Script Maintenance</t>
    </r>
    <r>
      <rPr>
        <sz val="14"/>
        <color theme="1"/>
        <rFont val="Calibri"/>
        <family val="2"/>
        <scheme val="minor"/>
      </rPr>
      <t xml:space="preserve">: Regular updates and stabilization of automation scripts to handle application changes.
• </t>
    </r>
    <r>
      <rPr>
        <b/>
        <sz val="14"/>
        <color theme="1"/>
        <rFont val="Calibri"/>
        <family val="2"/>
        <scheme val="minor"/>
      </rPr>
      <t xml:space="preserve">HCFI Letter Valiadion: </t>
    </r>
    <r>
      <rPr>
        <sz val="14"/>
        <color theme="1"/>
        <rFont val="Calibri"/>
        <family val="2"/>
        <scheme val="minor"/>
      </rPr>
      <t>AI verifies 700+ dynamic letter templates by semantically matching CSV values against generated PDFs, ensuring each document visually “looks right” across layouts without manual effort.</t>
    </r>
    <r>
      <rPr>
        <b/>
        <sz val="14"/>
        <color theme="1"/>
        <rFont val="Calibri"/>
        <family val="2"/>
        <scheme val="minor"/>
      </rPr>
      <t xml:space="preserve">
 </t>
    </r>
    <r>
      <rPr>
        <sz val="14"/>
        <color theme="1"/>
        <rFont val="Calibri"/>
        <family val="2"/>
        <scheme val="minor"/>
      </rPr>
      <t>•</t>
    </r>
    <r>
      <rPr>
        <b/>
        <sz val="14"/>
        <color theme="1"/>
        <rFont val="Calibri"/>
        <family val="2"/>
        <scheme val="minor"/>
      </rPr>
      <t xml:space="preserve"> Intelligent Automation</t>
    </r>
    <r>
      <rPr>
        <sz val="14"/>
        <color theme="1"/>
        <rFont val="Calibri"/>
        <family val="2"/>
        <scheme val="minor"/>
      </rPr>
      <t xml:space="preserve">: RSS automation is implemented to reduce manual effort and execution time.
• </t>
    </r>
    <r>
      <rPr>
        <b/>
        <sz val="14"/>
        <color theme="1"/>
        <rFont val="Calibri"/>
        <family val="2"/>
        <scheme val="minor"/>
      </rPr>
      <t xml:space="preserve">Parallel Initiatives:
       • Ongoing Automation Projects: </t>
    </r>
    <r>
      <rPr>
        <sz val="14"/>
        <color theme="1"/>
        <rFont val="Calibri"/>
        <family val="2"/>
        <scheme val="minor"/>
      </rPr>
      <t>AHFC Automation, FCRA Automation, Salesforce Automation, RTC Automation</t>
    </r>
    <r>
      <rPr>
        <b/>
        <sz val="14"/>
        <color theme="1"/>
        <rFont val="Calibri"/>
        <family val="2"/>
        <scheme val="minor"/>
      </rPr>
      <t xml:space="preserve">
       • POC: </t>
    </r>
    <r>
      <rPr>
        <sz val="14"/>
        <color theme="1"/>
        <rFont val="Calibri"/>
        <family val="2"/>
        <scheme val="minor"/>
      </rPr>
      <t>Mobile Automation using Digital Lab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•</t>
    </r>
    <r>
      <rPr>
        <b/>
        <sz val="14"/>
        <color theme="1"/>
        <rFont val="Calibri"/>
        <family val="2"/>
        <scheme val="minor"/>
      </rPr>
      <t>Innovations &amp; Utilities</t>
    </r>
    <r>
      <rPr>
        <sz val="14"/>
        <color theme="1"/>
        <rFont val="Calibri"/>
        <family val="2"/>
        <scheme val="minor"/>
      </rPr>
      <t>: Developed multiple internal automation utilities to improve execution efficiency, test data availability, and environment stability</t>
    </r>
    <r>
      <rPr>
        <sz val="11"/>
        <color theme="1"/>
        <rFont val="Calibri"/>
        <family val="2"/>
        <scheme val="minor"/>
      </rPr>
      <t xml:space="preserve">. </t>
    </r>
  </si>
  <si>
    <t>Acknowledgement Mail for Innovations -</t>
  </si>
  <si>
    <t>..\My Documents\Fw_ Acknowledgement Request for An Innovations.eml</t>
  </si>
  <si>
    <t>Total Scripts in All Domain</t>
  </si>
  <si>
    <t>Regression</t>
  </si>
  <si>
    <t>Total Test Cases/Scenarios</t>
  </si>
  <si>
    <t>Total test scripts automated</t>
  </si>
  <si>
    <t>Ideal</t>
  </si>
  <si>
    <t>Origenate</t>
  </si>
  <si>
    <t>Innovations Accomplished</t>
  </si>
  <si>
    <t>Innovation Name</t>
  </si>
  <si>
    <t>Tech Stack Used</t>
  </si>
  <si>
    <t>PDF- UI Validation</t>
  </si>
  <si>
    <t>Java-Selenium,spire.pdf</t>
  </si>
  <si>
    <t>Letter Extraction</t>
  </si>
  <si>
    <t>Python</t>
  </si>
  <si>
    <t>NBB Extractor</t>
  </si>
  <si>
    <t>Test Design Studio</t>
  </si>
  <si>
    <t>Coverage</t>
  </si>
  <si>
    <t>Leverage</t>
  </si>
  <si>
    <t>&gt;80%</t>
  </si>
  <si>
    <r>
      <t xml:space="preserve">                                                                                                                             </t>
    </r>
    <r>
      <rPr>
        <b/>
        <u/>
        <sz val="20"/>
        <color rgb="FFFF0000"/>
        <rFont val="Calibri"/>
        <family val="2"/>
        <scheme val="minor"/>
      </rPr>
      <t>Automation Project – Summary Report</t>
    </r>
    <r>
      <rPr>
        <sz val="11"/>
        <color theme="1"/>
        <rFont val="Calibri"/>
        <family val="2"/>
        <scheme val="minor"/>
      </rPr>
      <t xml:space="preserve">
</t>
    </r>
    <r>
      <rPr>
        <b/>
        <u/>
        <sz val="16"/>
        <color theme="1"/>
        <rFont val="Calibri"/>
        <family val="2"/>
        <scheme val="minor"/>
      </rPr>
      <t xml:space="preserve">Automation Tool Overview - </t>
    </r>
    <r>
      <rPr>
        <sz val="14"/>
        <color theme="1"/>
        <rFont val="Calibri"/>
        <family val="2"/>
        <scheme val="minor"/>
      </rPr>
      <t xml:space="preserve">
In the Honda Finance project, </t>
    </r>
    <r>
      <rPr>
        <b/>
        <u/>
        <sz val="14"/>
        <color theme="1"/>
        <rFont val="Calibri"/>
        <family val="2"/>
        <scheme val="minor"/>
      </rPr>
      <t>N_Origination</t>
    </r>
    <r>
      <rPr>
        <sz val="14"/>
        <color theme="1"/>
        <rFont val="Calibri"/>
        <family val="2"/>
        <scheme val="minor"/>
      </rPr>
      <t xml:space="preserve">  is a core application used by American Honda Finance Corporation (AHFC) to book customer loan. It supports applications for:
• AHFC (American Honda Finance Corporation) – USA
The application architecture consists of:
• Ideal Frontend developed on Java
• Origenate Frontend developed on Java Script
</t>
    </r>
    <r>
      <rPr>
        <b/>
        <u/>
        <sz val="14"/>
        <color theme="1"/>
        <rFont val="Calibri"/>
        <family val="2"/>
        <scheme val="minor"/>
      </rPr>
      <t>Selenium(Java)</t>
    </r>
    <r>
      <rPr>
        <sz val="14"/>
        <color theme="1"/>
        <rFont val="Calibri"/>
        <family val="2"/>
        <scheme val="minor"/>
      </rPr>
      <t xml:space="preserve"> is used as the primary automation tool to automate end-to-end business scenarios across applications.
</t>
    </r>
    <r>
      <rPr>
        <b/>
        <u/>
        <sz val="14"/>
        <color theme="1"/>
        <rFont val="Calibri"/>
        <family val="2"/>
        <scheme val="minor"/>
      </rPr>
      <t>For test management and version control:</t>
    </r>
    <r>
      <rPr>
        <b/>
        <sz val="14"/>
        <color theme="1"/>
        <rFont val="Calibri"/>
        <family val="2"/>
        <scheme val="minor"/>
      </rPr>
      <t xml:space="preserve">
</t>
    </r>
    <r>
      <rPr>
        <b/>
        <u/>
        <sz val="14"/>
        <color theme="1"/>
        <rFont val="Calibri"/>
        <family val="2"/>
        <scheme val="minor"/>
      </rPr>
      <t>ALM</t>
    </r>
    <r>
      <rPr>
        <sz val="14"/>
        <color theme="1"/>
        <rFont val="Calibri"/>
        <family val="2"/>
        <scheme val="minor"/>
      </rPr>
      <t xml:space="preserve"> (Application Lifecycle Management) is used to manage test cases, test execution, defects, and reporting.
</t>
    </r>
    <r>
      <rPr>
        <b/>
        <u/>
        <sz val="14"/>
        <color theme="1"/>
        <rFont val="Calibri"/>
        <family val="2"/>
        <scheme val="minor"/>
      </rPr>
      <t>AZURE DevOps</t>
    </r>
    <r>
      <rPr>
        <sz val="14"/>
        <color theme="1"/>
        <rFont val="Calibri"/>
        <family val="2"/>
        <scheme val="minor"/>
      </rPr>
      <t xml:space="preserve"> is used for storing and maintaining automation scripts and version history .It is also used for regression and smoke pipelines .
                                                     </t>
    </r>
  </si>
  <si>
    <r>
      <rPr>
        <sz val="11"/>
        <color rgb="FF000000"/>
        <rFont val="Calibri"/>
        <family val="2"/>
        <scheme val="minor"/>
      </rPr>
      <t xml:space="preserve">                                                                                                                                               </t>
    </r>
    <r>
      <rPr>
        <b/>
        <u/>
        <sz val="20"/>
        <color rgb="FFFF0000"/>
        <rFont val="Calibri"/>
        <family val="2"/>
        <scheme val="minor"/>
      </rPr>
      <t xml:space="preserve"> Automation Coverage
</t>
    </r>
    <r>
      <rPr>
        <sz val="14"/>
        <color rgb="FF000000"/>
        <rFont val="Calibri"/>
        <family val="2"/>
        <scheme val="minor"/>
      </rPr>
      <t>The automation framework includes Smoke and regression testcases with strong script-level and business-flow-level coverage.
• Smoke : 136 total scripts with ~99% pass rate.
• Regression : 2918 total scripts with ~98% pass rate.
• E-2-E business process flows implemented using a hybrid automation framework.
• Business Flow Coverage: More than 85% of business flows are automated (175 out  of 204).</t>
    </r>
  </si>
  <si>
    <r>
      <t xml:space="preserve">                                                                                                                                                 </t>
    </r>
    <r>
      <rPr>
        <b/>
        <u/>
        <sz val="20"/>
        <color rgb="FFFF0000"/>
        <rFont val="Calibri"/>
        <family val="2"/>
        <scheme val="minor"/>
      </rPr>
      <t>Automation Activities</t>
    </r>
    <r>
      <rPr>
        <sz val="14"/>
        <color theme="1"/>
        <rFont val="Calibri"/>
        <family val="2"/>
        <scheme val="minor"/>
      </rPr>
      <t xml:space="preserve">
• </t>
    </r>
    <r>
      <rPr>
        <b/>
        <sz val="14"/>
        <color theme="1"/>
        <rFont val="Calibri"/>
        <family val="2"/>
        <scheme val="minor"/>
      </rPr>
      <t>Release Execution</t>
    </r>
    <r>
      <rPr>
        <sz val="14"/>
        <color theme="1"/>
        <rFont val="Calibri"/>
        <family val="2"/>
        <scheme val="minor"/>
      </rPr>
      <t xml:space="preserve">: Bi-weekly releases automation regression is performed for Ideal application and Monthly regression for Origenate Application.
• </t>
    </r>
    <r>
      <rPr>
        <b/>
        <sz val="14"/>
        <color theme="1"/>
        <rFont val="Calibri"/>
        <family val="2"/>
        <scheme val="minor"/>
      </rPr>
      <t>Script Maintenance</t>
    </r>
    <r>
      <rPr>
        <sz val="14"/>
        <color theme="1"/>
        <rFont val="Calibri"/>
        <family val="2"/>
        <scheme val="minor"/>
      </rPr>
      <t xml:space="preserve">: Regular updates and stabilization of automation scripts to handle application changes.
• </t>
    </r>
    <r>
      <rPr>
        <b/>
        <sz val="14"/>
        <color theme="1"/>
        <rFont val="Calibri"/>
        <family val="2"/>
        <scheme val="minor"/>
      </rPr>
      <t xml:space="preserve">Smoke Validation: </t>
    </r>
    <r>
      <rPr>
        <sz val="14"/>
        <color theme="1"/>
        <rFont val="Calibri"/>
        <family val="2"/>
        <scheme val="minor"/>
      </rPr>
      <t>Performing daily smoke test to verify the environment stability.</t>
    </r>
    <r>
      <rPr>
        <b/>
        <sz val="14"/>
        <color theme="1"/>
        <rFont val="Calibri"/>
        <family val="2"/>
        <scheme val="minor"/>
      </rPr>
      <t xml:space="preserve">
 </t>
    </r>
    <r>
      <rPr>
        <sz val="14"/>
        <color theme="1"/>
        <rFont val="Calibri"/>
        <family val="2"/>
        <scheme val="minor"/>
      </rPr>
      <t xml:space="preserve">• </t>
    </r>
    <r>
      <rPr>
        <b/>
        <sz val="14"/>
        <color theme="1"/>
        <rFont val="Calibri"/>
        <family val="2"/>
        <scheme val="minor"/>
      </rPr>
      <t xml:space="preserve">Parallel Initiatives:
       • Ongoing Automation Projects: </t>
    </r>
    <r>
      <rPr>
        <sz val="14"/>
        <color theme="1"/>
        <rFont val="Calibri"/>
        <family val="2"/>
        <scheme val="minor"/>
      </rPr>
      <t>DSP Automation</t>
    </r>
    <r>
      <rPr>
        <b/>
        <sz val="14"/>
        <color theme="1"/>
        <rFont val="Calibri"/>
        <family val="2"/>
        <scheme val="minor"/>
      </rPr>
      <t xml:space="preserve">
       • POC: </t>
    </r>
    <r>
      <rPr>
        <sz val="14"/>
        <color theme="1"/>
        <rFont val="Calibri"/>
        <family val="2"/>
        <scheme val="minor"/>
      </rPr>
      <t>Test Case generation, Test Script generation using Github Copilot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•</t>
    </r>
    <r>
      <rPr>
        <b/>
        <sz val="14"/>
        <color theme="1"/>
        <rFont val="Calibri"/>
        <family val="2"/>
        <scheme val="minor"/>
      </rPr>
      <t>Innovations &amp; Utilities</t>
    </r>
    <r>
      <rPr>
        <sz val="14"/>
        <color theme="1"/>
        <rFont val="Calibri"/>
        <family val="2"/>
        <scheme val="minor"/>
      </rPr>
      <t>: Letter extraction, NBB Extractor,PDF-UI Validator,Law Form utility(On-going),Combination Suggestor(On - going)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</si>
</sst>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000000"/>
      <name val="Calibri"/>
      <family val="2"/>
    </font>
    <font>
      <sz val="14"/>
      <color rgb="FF000000"/>
      <name val="Times New Roman"/>
      <family val="1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Aptos Narrow"/>
      <family val="2"/>
    </font>
    <font>
      <b/>
      <sz val="14"/>
      <color rgb="FF000000"/>
      <name val="Aptos Narrow"/>
      <family val="2"/>
    </font>
    <font>
      <b/>
      <u/>
      <sz val="20"/>
      <color rgb="FFFF000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6"/>
      <color rgb="FF000000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sz val="11"/>
      <color rgb="FF000000"/>
      <name val="Calibri"/>
      <scheme val="minor"/>
    </font>
    <font>
      <b/>
      <u/>
      <sz val="20"/>
      <color rgb="FFFF0000"/>
      <name val="Calibri"/>
      <scheme val="minor"/>
    </font>
    <font>
      <sz val="14"/>
      <color rgb="FF000000"/>
      <name val="Calibri"/>
      <scheme val="minor"/>
    </font>
    <font>
      <b/>
      <sz val="14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92">
    <xf numFmtId="0" fontId="0" fillId="0" borderId="0" xfId="0"/>
    <xf numFmtId="0" fontId="3" fillId="0" borderId="0" xfId="0" applyFont="1"/>
    <xf numFmtId="0" fontId="3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9" fontId="6" fillId="0" borderId="6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9" fontId="3" fillId="0" borderId="6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9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10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9" fontId="11" fillId="0" borderId="5" xfId="0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5" fillId="0" borderId="0" xfId="1"/>
    <xf numFmtId="0" fontId="15" fillId="0" borderId="22" xfId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9" fillId="0" borderId="31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9" fontId="3" fillId="0" borderId="33" xfId="0" applyNumberFormat="1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9" fontId="3" fillId="0" borderId="25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9" fontId="3" fillId="0" borderId="5" xfId="0" applyNumberFormat="1" applyFont="1" applyBorder="1" applyAlignment="1">
      <alignment horizontal="center"/>
    </xf>
    <xf numFmtId="0" fontId="10" fillId="0" borderId="0" xfId="0" applyFont="1" applyAlignment="1">
      <alignment vertical="center" wrapText="1"/>
    </xf>
    <xf numFmtId="9" fontId="11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9" fontId="10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9" fontId="3" fillId="0" borderId="0" xfId="0" applyNumberFormat="1" applyFont="1" applyAlignment="1">
      <alignment horizontal="center" vertical="center"/>
    </xf>
    <xf numFmtId="0" fontId="15" fillId="0" borderId="0" xfId="1" applyBorder="1" applyAlignment="1">
      <alignment vertical="center"/>
    </xf>
    <xf numFmtId="9" fontId="6" fillId="0" borderId="6" xfId="0" applyNumberFormat="1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10" fillId="7" borderId="16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 vertical="center"/>
    </xf>
    <xf numFmtId="0" fontId="10" fillId="7" borderId="18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/>
    </xf>
    <xf numFmtId="0" fontId="8" fillId="4" borderId="29" xfId="0" applyFont="1" applyFill="1" applyBorder="1" applyAlignment="1">
      <alignment horizontal="center" vertical="center" wrapText="1"/>
    </xf>
    <xf numFmtId="0" fontId="8" fillId="4" borderId="30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..\My%20Documents\Fw_%20Acknowledgement%20Request%20for%20An%20Innovations.e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zoomScale="80" zoomScaleNormal="80" workbookViewId="0">
      <selection activeCell="K40" sqref="K40"/>
    </sheetView>
  </sheetViews>
  <sheetFormatPr defaultColWidth="9.140625" defaultRowHeight="18.600000000000001"/>
  <cols>
    <col min="1" max="1" width="24.7109375" style="1" bestFit="1" customWidth="1"/>
    <col min="2" max="2" width="28.85546875" style="1" bestFit="1" customWidth="1"/>
    <col min="3" max="3" width="22.140625" style="1" bestFit="1" customWidth="1"/>
    <col min="4" max="4" width="18.28515625" style="1" bestFit="1" customWidth="1"/>
    <col min="5" max="5" width="19.7109375" style="1" bestFit="1" customWidth="1"/>
    <col min="6" max="7" width="9.140625" style="1"/>
    <col min="8" max="8" width="11.7109375" style="1" bestFit="1" customWidth="1"/>
    <col min="9" max="9" width="6.7109375" style="1" bestFit="1" customWidth="1"/>
    <col min="10" max="10" width="8.85546875" style="1" bestFit="1" customWidth="1"/>
    <col min="11" max="11" width="7.85546875" style="1" bestFit="1" customWidth="1"/>
    <col min="12" max="13" width="8.5703125" style="1" bestFit="1" customWidth="1"/>
    <col min="14" max="16384" width="9.140625" style="1"/>
  </cols>
  <sheetData>
    <row r="1" spans="1:6" ht="18.95" thickBot="1"/>
    <row r="2" spans="1:6">
      <c r="A2" s="70" t="s">
        <v>0</v>
      </c>
      <c r="B2" s="71"/>
      <c r="C2" s="71"/>
      <c r="D2" s="71"/>
      <c r="E2" s="71"/>
      <c r="F2" s="72"/>
    </row>
    <row r="3" spans="1:6">
      <c r="A3" s="79" t="s">
        <v>1</v>
      </c>
      <c r="B3" s="80" t="s">
        <v>2</v>
      </c>
      <c r="C3" s="80" t="s">
        <v>3</v>
      </c>
      <c r="D3" s="80" t="s">
        <v>4</v>
      </c>
      <c r="E3" s="80" t="s">
        <v>5</v>
      </c>
      <c r="F3" s="81" t="s">
        <v>6</v>
      </c>
    </row>
    <row r="4" spans="1:6">
      <c r="A4" s="79"/>
      <c r="B4" s="80"/>
      <c r="C4" s="80"/>
      <c r="D4" s="80"/>
      <c r="E4" s="80"/>
      <c r="F4" s="81"/>
    </row>
    <row r="5" spans="1:6">
      <c r="A5" s="76" t="s">
        <v>7</v>
      </c>
      <c r="B5" s="77">
        <v>281</v>
      </c>
      <c r="C5" s="3" t="s">
        <v>8</v>
      </c>
      <c r="D5" s="78">
        <v>249</v>
      </c>
      <c r="E5" s="77">
        <v>32</v>
      </c>
      <c r="F5" s="57">
        <v>1</v>
      </c>
    </row>
    <row r="6" spans="1:6">
      <c r="A6" s="76"/>
      <c r="B6" s="77"/>
      <c r="C6" s="3" t="s">
        <v>9</v>
      </c>
      <c r="D6" s="78"/>
      <c r="E6" s="77"/>
      <c r="F6" s="57"/>
    </row>
    <row r="7" spans="1:6">
      <c r="A7" s="76" t="s">
        <v>10</v>
      </c>
      <c r="B7" s="77">
        <v>3198</v>
      </c>
      <c r="C7" s="3" t="s">
        <v>11</v>
      </c>
      <c r="D7" s="78">
        <v>2557</v>
      </c>
      <c r="E7" s="77">
        <v>641</v>
      </c>
      <c r="F7" s="57">
        <v>1</v>
      </c>
    </row>
    <row r="8" spans="1:6">
      <c r="A8" s="76"/>
      <c r="B8" s="77"/>
      <c r="C8" s="3" t="s">
        <v>12</v>
      </c>
      <c r="D8" s="78"/>
      <c r="E8" s="77"/>
      <c r="F8" s="57"/>
    </row>
    <row r="9" spans="1:6">
      <c r="A9" s="76" t="s">
        <v>13</v>
      </c>
      <c r="B9" s="77">
        <v>237</v>
      </c>
      <c r="C9" s="3" t="s">
        <v>14</v>
      </c>
      <c r="D9" s="78">
        <v>203</v>
      </c>
      <c r="E9" s="77">
        <v>34</v>
      </c>
      <c r="F9" s="57">
        <v>1</v>
      </c>
    </row>
    <row r="10" spans="1:6">
      <c r="A10" s="76"/>
      <c r="B10" s="77"/>
      <c r="C10" s="3" t="s">
        <v>15</v>
      </c>
      <c r="D10" s="78"/>
      <c r="E10" s="77"/>
      <c r="F10" s="57"/>
    </row>
    <row r="11" spans="1:6">
      <c r="A11" s="2" t="s">
        <v>16</v>
      </c>
      <c r="B11" s="3">
        <v>556</v>
      </c>
      <c r="C11" s="3">
        <v>556</v>
      </c>
      <c r="D11" s="4">
        <v>220</v>
      </c>
      <c r="E11" s="3">
        <v>30</v>
      </c>
      <c r="F11" s="5">
        <v>0.45</v>
      </c>
    </row>
    <row r="12" spans="1:6" ht="18.95" thickBot="1">
      <c r="A12" s="6" t="s">
        <v>17</v>
      </c>
      <c r="B12" s="7">
        <v>458</v>
      </c>
      <c r="C12" s="7">
        <v>458</v>
      </c>
      <c r="D12" s="7">
        <v>10</v>
      </c>
      <c r="E12" s="7">
        <v>0</v>
      </c>
      <c r="F12" s="8">
        <v>0.02</v>
      </c>
    </row>
    <row r="13" spans="1:6" ht="18.95" thickBot="1"/>
    <row r="14" spans="1:6">
      <c r="A14" s="73" t="s">
        <v>18</v>
      </c>
      <c r="B14" s="74"/>
      <c r="C14" s="74"/>
      <c r="D14" s="74"/>
      <c r="E14" s="75"/>
    </row>
    <row r="15" spans="1:6">
      <c r="A15" s="67" t="s">
        <v>1</v>
      </c>
      <c r="B15" s="68" t="s">
        <v>19</v>
      </c>
      <c r="C15" s="68" t="s">
        <v>20</v>
      </c>
      <c r="D15" s="68" t="s">
        <v>21</v>
      </c>
      <c r="E15" s="69" t="s">
        <v>22</v>
      </c>
    </row>
    <row r="16" spans="1:6">
      <c r="A16" s="67"/>
      <c r="B16" s="68"/>
      <c r="C16" s="68"/>
      <c r="D16" s="68"/>
      <c r="E16" s="69"/>
    </row>
    <row r="17" spans="1:5">
      <c r="A17" s="9" t="s">
        <v>7</v>
      </c>
      <c r="B17" s="10">
        <v>281</v>
      </c>
      <c r="C17" s="10">
        <v>249</v>
      </c>
      <c r="D17" s="10">
        <v>32</v>
      </c>
      <c r="E17" s="11">
        <v>0.98</v>
      </c>
    </row>
    <row r="18" spans="1:5">
      <c r="A18" s="9" t="s">
        <v>10</v>
      </c>
      <c r="B18" s="10">
        <v>3198</v>
      </c>
      <c r="C18" s="10">
        <v>2557</v>
      </c>
      <c r="D18" s="10">
        <v>641</v>
      </c>
      <c r="E18" s="11">
        <v>0.97</v>
      </c>
    </row>
    <row r="19" spans="1:5">
      <c r="A19" s="12" t="s">
        <v>13</v>
      </c>
      <c r="B19" s="13">
        <v>244</v>
      </c>
      <c r="C19" s="13">
        <v>210</v>
      </c>
      <c r="D19" s="13">
        <v>34</v>
      </c>
      <c r="E19" s="11">
        <v>0.98</v>
      </c>
    </row>
    <row r="20" spans="1:5" ht="18.95" thickBot="1">
      <c r="A20" s="14" t="s">
        <v>23</v>
      </c>
      <c r="B20" s="15">
        <v>250</v>
      </c>
      <c r="C20" s="15">
        <v>220</v>
      </c>
      <c r="D20" s="15">
        <v>30</v>
      </c>
      <c r="E20" s="8">
        <v>0.97</v>
      </c>
    </row>
    <row r="22" spans="1:5" ht="18.95" thickBot="1"/>
    <row r="23" spans="1:5">
      <c r="A23" s="70" t="s">
        <v>24</v>
      </c>
      <c r="B23" s="71"/>
      <c r="C23" s="71"/>
      <c r="D23" s="72"/>
    </row>
    <row r="24" spans="1:5" ht="36.950000000000003">
      <c r="A24" s="16" t="s">
        <v>25</v>
      </c>
      <c r="B24" s="17" t="s">
        <v>26</v>
      </c>
      <c r="C24" s="17" t="s">
        <v>27</v>
      </c>
      <c r="D24" s="18" t="s">
        <v>28</v>
      </c>
    </row>
    <row r="25" spans="1:5">
      <c r="A25" s="19" t="s">
        <v>29</v>
      </c>
      <c r="B25" s="20">
        <v>43</v>
      </c>
      <c r="C25" s="21"/>
      <c r="D25" s="22"/>
    </row>
    <row r="26" spans="1:5">
      <c r="A26" s="23" t="s">
        <v>30</v>
      </c>
      <c r="B26" s="20">
        <v>11</v>
      </c>
      <c r="C26" s="21">
        <f>B26/B25</f>
        <v>0.2558139534883721</v>
      </c>
      <c r="D26" s="11">
        <f>C26</f>
        <v>0.2558139534883721</v>
      </c>
    </row>
    <row r="27" spans="1:5">
      <c r="A27" s="23" t="s">
        <v>31</v>
      </c>
      <c r="B27" s="20">
        <v>5</v>
      </c>
      <c r="C27" s="21">
        <f>B27/B25</f>
        <v>0.11627906976744186</v>
      </c>
      <c r="D27" s="11">
        <f>C27+C26</f>
        <v>0.37209302325581395</v>
      </c>
    </row>
    <row r="28" spans="1:5">
      <c r="A28" s="23" t="s">
        <v>32</v>
      </c>
      <c r="B28" s="20">
        <v>8</v>
      </c>
      <c r="C28" s="21">
        <f>B28/B25</f>
        <v>0.18604651162790697</v>
      </c>
      <c r="D28" s="11">
        <f>C28+C26+C27</f>
        <v>0.55813953488372092</v>
      </c>
    </row>
    <row r="29" spans="1:5">
      <c r="A29" s="23" t="s">
        <v>33</v>
      </c>
      <c r="B29" s="20">
        <v>3</v>
      </c>
      <c r="C29" s="21">
        <f>B29/B25</f>
        <v>6.9767441860465115E-2</v>
      </c>
      <c r="D29" s="11">
        <f>SUM(C26:C29)</f>
        <v>0.62790697674418605</v>
      </c>
    </row>
    <row r="30" spans="1:5">
      <c r="A30" s="23" t="s">
        <v>34</v>
      </c>
      <c r="B30" s="20">
        <v>4</v>
      </c>
      <c r="C30" s="21">
        <f>B30/B25</f>
        <v>9.3023255813953487E-2</v>
      </c>
      <c r="D30" s="11">
        <f>SUM(D29+C30)</f>
        <v>0.72093023255813948</v>
      </c>
    </row>
    <row r="31" spans="1:5">
      <c r="A31" s="23" t="s">
        <v>35</v>
      </c>
      <c r="B31" s="20">
        <v>6</v>
      </c>
      <c r="C31" s="21">
        <f>B31/B25</f>
        <v>0.13953488372093023</v>
      </c>
      <c r="D31" s="11">
        <f>SUM(D30+C31)</f>
        <v>0.86046511627906974</v>
      </c>
    </row>
    <row r="32" spans="1:5" ht="18.95" thickBot="1">
      <c r="A32" s="24" t="s">
        <v>36</v>
      </c>
      <c r="B32" s="7">
        <v>6</v>
      </c>
      <c r="C32" s="25">
        <f>B32/B25</f>
        <v>0.13953488372093023</v>
      </c>
      <c r="D32" s="8">
        <v>1</v>
      </c>
    </row>
    <row r="34" spans="1:5" ht="18.95" thickBot="1"/>
    <row r="35" spans="1:5">
      <c r="A35" s="58" t="s">
        <v>37</v>
      </c>
      <c r="B35" s="59"/>
      <c r="C35" s="59"/>
      <c r="D35" s="59"/>
      <c r="E35" s="60"/>
    </row>
    <row r="36" spans="1:5">
      <c r="A36" s="16" t="s">
        <v>38</v>
      </c>
      <c r="B36" s="17" t="s">
        <v>39</v>
      </c>
      <c r="C36" s="17" t="s">
        <v>40</v>
      </c>
      <c r="D36" s="17" t="s">
        <v>41</v>
      </c>
      <c r="E36" s="26" t="s">
        <v>42</v>
      </c>
    </row>
    <row r="37" spans="1:5" ht="18.95" thickBot="1">
      <c r="A37" s="6" t="s">
        <v>43</v>
      </c>
      <c r="B37" s="7">
        <v>700</v>
      </c>
      <c r="C37" s="7">
        <v>10</v>
      </c>
      <c r="D37" s="27">
        <v>1.43E-2</v>
      </c>
      <c r="E37" s="28" t="s">
        <v>44</v>
      </c>
    </row>
    <row r="42" spans="1:5">
      <c r="A42" s="61" t="s">
        <v>45</v>
      </c>
      <c r="B42" s="62"/>
      <c r="C42" s="62"/>
      <c r="D42" s="62"/>
      <c r="E42" s="63"/>
    </row>
    <row r="43" spans="1:5">
      <c r="A43" s="64"/>
      <c r="B43" s="65"/>
      <c r="C43" s="65"/>
      <c r="D43" s="65"/>
      <c r="E43" s="66"/>
    </row>
    <row r="44" spans="1:5" ht="36.950000000000003">
      <c r="A44" s="29" t="s">
        <v>46</v>
      </c>
      <c r="B44" s="29" t="s">
        <v>47</v>
      </c>
      <c r="C44" s="29" t="s">
        <v>48</v>
      </c>
      <c r="D44" s="29" t="s">
        <v>49</v>
      </c>
      <c r="E44" s="29" t="s">
        <v>50</v>
      </c>
    </row>
    <row r="45" spans="1:5" ht="55.5">
      <c r="A45" s="30" t="s">
        <v>51</v>
      </c>
      <c r="B45" s="30">
        <v>18</v>
      </c>
      <c r="C45" s="30">
        <v>14</v>
      </c>
      <c r="D45" s="30">
        <v>6</v>
      </c>
      <c r="E45" s="31">
        <v>0.8</v>
      </c>
    </row>
    <row r="46" spans="1:5" ht="36.950000000000003">
      <c r="A46" s="30" t="s">
        <v>52</v>
      </c>
      <c r="B46" s="30">
        <v>15</v>
      </c>
      <c r="C46" s="30">
        <v>12.75</v>
      </c>
      <c r="D46" s="30">
        <v>2.25</v>
      </c>
      <c r="E46" s="31">
        <v>0.85</v>
      </c>
    </row>
  </sheetData>
  <mergeCells count="31">
    <mergeCell ref="A2:F2"/>
    <mergeCell ref="A3:A4"/>
    <mergeCell ref="B3:B4"/>
    <mergeCell ref="C3:C4"/>
    <mergeCell ref="D3:D4"/>
    <mergeCell ref="E3:E4"/>
    <mergeCell ref="F3:F4"/>
    <mergeCell ref="F5:F6"/>
    <mergeCell ref="A7:A8"/>
    <mergeCell ref="B7:B8"/>
    <mergeCell ref="D7:D8"/>
    <mergeCell ref="E7:E8"/>
    <mergeCell ref="F7:F8"/>
    <mergeCell ref="A5:A6"/>
    <mergeCell ref="B5:B6"/>
    <mergeCell ref="D5:D6"/>
    <mergeCell ref="E5:E6"/>
    <mergeCell ref="A9:A10"/>
    <mergeCell ref="B9:B10"/>
    <mergeCell ref="D9:D10"/>
    <mergeCell ref="E9:E10"/>
    <mergeCell ref="F9:F10"/>
    <mergeCell ref="A35:E35"/>
    <mergeCell ref="A42:E43"/>
    <mergeCell ref="A15:A16"/>
    <mergeCell ref="B15:B16"/>
    <mergeCell ref="C15:C16"/>
    <mergeCell ref="D15:D16"/>
    <mergeCell ref="E15:E16"/>
    <mergeCell ref="A23:D23"/>
    <mergeCell ref="A14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B470E-137F-4BC4-BA33-B6DFB686CC01}">
  <dimension ref="A1:C13"/>
  <sheetViews>
    <sheetView tabSelected="1" zoomScale="70" zoomScaleNormal="70" workbookViewId="0">
      <selection activeCell="E1" sqref="E1"/>
    </sheetView>
  </sheetViews>
  <sheetFormatPr defaultRowHeight="14.45"/>
  <cols>
    <col min="1" max="1" width="161.42578125" customWidth="1"/>
  </cols>
  <sheetData>
    <row r="1" spans="1:3" ht="322.5" customHeight="1">
      <c r="A1" s="33" t="s">
        <v>53</v>
      </c>
    </row>
    <row r="2" spans="1:3" ht="248.25" customHeight="1">
      <c r="A2" s="91" t="s">
        <v>54</v>
      </c>
    </row>
    <row r="3" spans="1:3" ht="211.5" thickBot="1">
      <c r="A3" s="34" t="s">
        <v>55</v>
      </c>
    </row>
    <row r="4" spans="1:3">
      <c r="A4" s="37" t="s">
        <v>56</v>
      </c>
    </row>
    <row r="5" spans="1:3" ht="15" thickBot="1">
      <c r="A5" s="36" t="s">
        <v>57</v>
      </c>
      <c r="C5" s="35"/>
    </row>
    <row r="6" spans="1:3">
      <c r="A6" s="32"/>
    </row>
    <row r="7" spans="1:3">
      <c r="A7" s="32"/>
    </row>
    <row r="8" spans="1:3">
      <c r="A8" s="32"/>
    </row>
    <row r="9" spans="1:3">
      <c r="A9" s="32"/>
    </row>
    <row r="10" spans="1:3">
      <c r="A10" s="32"/>
    </row>
    <row r="11" spans="1:3">
      <c r="A11" s="32"/>
    </row>
    <row r="12" spans="1:3">
      <c r="A12" s="32"/>
    </row>
    <row r="13" spans="1:3">
      <c r="A13" s="32"/>
    </row>
  </sheetData>
  <hyperlinks>
    <hyperlink ref="A5" r:id="rId1" xr:uid="{68C06DE2-B802-44A8-82FB-F95797D58A9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5B265-DFB7-4C1F-AACF-BD5DCA8C082C}">
  <dimension ref="A2:E32"/>
  <sheetViews>
    <sheetView zoomScale="80" zoomScaleNormal="80" workbookViewId="0">
      <selection activeCell="H13" sqref="H13"/>
    </sheetView>
  </sheetViews>
  <sheetFormatPr defaultColWidth="8.7109375" defaultRowHeight="18.600000000000001"/>
  <cols>
    <col min="1" max="1" width="24.7109375" style="1" bestFit="1" customWidth="1"/>
    <col min="2" max="2" width="28.85546875" style="1" bestFit="1" customWidth="1"/>
    <col min="3" max="3" width="35.85546875" style="1" customWidth="1"/>
    <col min="4" max="4" width="18.28515625" style="1" bestFit="1" customWidth="1"/>
    <col min="5" max="5" width="19.7109375" style="1" bestFit="1" customWidth="1"/>
    <col min="6" max="7" width="9.140625" style="1" bestFit="1" customWidth="1"/>
    <col min="8" max="8" width="11.7109375" style="1" bestFit="1" customWidth="1"/>
    <col min="9" max="9" width="6.7109375" style="1" bestFit="1" customWidth="1"/>
    <col min="10" max="10" width="8.85546875" style="1" bestFit="1" customWidth="1"/>
    <col min="11" max="11" width="7.85546875" style="1" bestFit="1" customWidth="1"/>
    <col min="12" max="13" width="8.5703125" style="1" bestFit="1" customWidth="1"/>
    <col min="14" max="16384" width="8.7109375" style="1"/>
  </cols>
  <sheetData>
    <row r="2" spans="1:3" ht="18.95" thickBot="1"/>
    <row r="3" spans="1:3">
      <c r="A3" s="70" t="s">
        <v>58</v>
      </c>
      <c r="B3" s="71"/>
      <c r="C3" s="86"/>
    </row>
    <row r="4" spans="1:3">
      <c r="A4" s="67" t="s">
        <v>1</v>
      </c>
      <c r="B4" s="68" t="s">
        <v>19</v>
      </c>
      <c r="C4" s="84" t="s">
        <v>22</v>
      </c>
    </row>
    <row r="5" spans="1:3">
      <c r="A5" s="67"/>
      <c r="B5" s="68"/>
      <c r="C5" s="85"/>
    </row>
    <row r="6" spans="1:3">
      <c r="A6" s="9" t="s">
        <v>7</v>
      </c>
      <c r="B6" s="10">
        <v>136</v>
      </c>
      <c r="C6" s="11">
        <v>0.99</v>
      </c>
    </row>
    <row r="7" spans="1:3">
      <c r="A7" s="9" t="s">
        <v>59</v>
      </c>
      <c r="B7" s="10">
        <v>2918</v>
      </c>
      <c r="C7" s="11">
        <v>0.98</v>
      </c>
    </row>
    <row r="8" spans="1:3">
      <c r="A8" s="54"/>
      <c r="B8" s="54"/>
      <c r="C8" s="55"/>
    </row>
    <row r="9" spans="1:3">
      <c r="A9" s="54"/>
      <c r="B9" s="54"/>
      <c r="C9" s="55"/>
    </row>
    <row r="10" spans="1:3" ht="18.95" thickBot="1"/>
    <row r="11" spans="1:3">
      <c r="A11" s="70" t="s">
        <v>18</v>
      </c>
      <c r="B11" s="71"/>
      <c r="C11" s="86"/>
    </row>
    <row r="12" spans="1:3">
      <c r="A12" s="87" t="s">
        <v>1</v>
      </c>
      <c r="B12" s="89" t="s">
        <v>60</v>
      </c>
      <c r="C12" s="84" t="s">
        <v>61</v>
      </c>
    </row>
    <row r="13" spans="1:3">
      <c r="A13" s="88"/>
      <c r="B13" s="90"/>
      <c r="C13" s="85"/>
    </row>
    <row r="14" spans="1:3">
      <c r="A14" s="9" t="s">
        <v>62</v>
      </c>
      <c r="B14" s="10">
        <v>43</v>
      </c>
      <c r="C14" s="22">
        <v>36</v>
      </c>
    </row>
    <row r="15" spans="1:3">
      <c r="A15" s="9" t="s">
        <v>63</v>
      </c>
      <c r="B15" s="10">
        <v>161</v>
      </c>
      <c r="C15" s="22">
        <v>139</v>
      </c>
    </row>
    <row r="18" spans="1:5">
      <c r="A18" s="39"/>
      <c r="B18" s="40"/>
      <c r="C18" s="41"/>
    </row>
    <row r="19" spans="1:5">
      <c r="A19" s="82" t="s">
        <v>64</v>
      </c>
      <c r="B19" s="82"/>
      <c r="C19" s="82"/>
      <c r="D19" s="38"/>
      <c r="E19" s="38"/>
    </row>
    <row r="20" spans="1:5">
      <c r="A20" s="16" t="s">
        <v>65</v>
      </c>
      <c r="B20" s="17" t="s">
        <v>41</v>
      </c>
      <c r="C20" s="26" t="s">
        <v>66</v>
      </c>
    </row>
    <row r="21" spans="1:5">
      <c r="A21" s="42" t="s">
        <v>67</v>
      </c>
      <c r="B21" s="43">
        <v>0.95</v>
      </c>
      <c r="C21" s="44" t="s">
        <v>68</v>
      </c>
    </row>
    <row r="22" spans="1:5">
      <c r="A22" s="45" t="s">
        <v>69</v>
      </c>
      <c r="B22" s="46">
        <v>1</v>
      </c>
      <c r="C22" s="45" t="s">
        <v>70</v>
      </c>
    </row>
    <row r="23" spans="1:5">
      <c r="A23" s="45" t="s">
        <v>71</v>
      </c>
      <c r="B23" s="46">
        <v>1</v>
      </c>
      <c r="C23" s="45" t="s">
        <v>70</v>
      </c>
    </row>
    <row r="24" spans="1:5">
      <c r="A24" s="45" t="s">
        <v>72</v>
      </c>
      <c r="B24" s="46">
        <v>1</v>
      </c>
      <c r="C24" s="45" t="s">
        <v>70</v>
      </c>
    </row>
    <row r="25" spans="1:5">
      <c r="A25" s="52"/>
      <c r="B25" s="53"/>
      <c r="C25" s="52"/>
    </row>
    <row r="26" spans="1:5">
      <c r="A26" s="52"/>
      <c r="B26" s="53"/>
      <c r="C26" s="52"/>
    </row>
    <row r="28" spans="1:5">
      <c r="A28" s="83" t="s">
        <v>45</v>
      </c>
      <c r="B28" s="83"/>
      <c r="C28" s="83"/>
    </row>
    <row r="29" spans="1:5">
      <c r="A29" s="83"/>
      <c r="B29" s="83"/>
      <c r="C29" s="83"/>
    </row>
    <row r="30" spans="1:5">
      <c r="A30" s="29" t="s">
        <v>46</v>
      </c>
      <c r="B30" s="29" t="s">
        <v>73</v>
      </c>
      <c r="C30" s="29" t="s">
        <v>74</v>
      </c>
      <c r="D30" s="49"/>
      <c r="E30" s="49"/>
    </row>
    <row r="31" spans="1:5" ht="55.5">
      <c r="A31" s="50" t="s">
        <v>51</v>
      </c>
      <c r="B31" s="51">
        <v>0.85</v>
      </c>
      <c r="C31" s="50" t="s">
        <v>75</v>
      </c>
      <c r="D31" s="47"/>
      <c r="E31" s="48"/>
    </row>
    <row r="32" spans="1:5">
      <c r="A32" s="47"/>
      <c r="B32" s="47"/>
      <c r="C32" s="47"/>
      <c r="D32" s="47"/>
      <c r="E32" s="48"/>
    </row>
  </sheetData>
  <mergeCells count="10">
    <mergeCell ref="A3:C3"/>
    <mergeCell ref="A11:C11"/>
    <mergeCell ref="A12:A13"/>
    <mergeCell ref="B12:B13"/>
    <mergeCell ref="C12:C13"/>
    <mergeCell ref="A19:C19"/>
    <mergeCell ref="A28:C29"/>
    <mergeCell ref="A4:A5"/>
    <mergeCell ref="B4:B5"/>
    <mergeCell ref="C4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AC975-8D7C-4B04-98F7-E20703201185}">
  <dimension ref="A1:C13"/>
  <sheetViews>
    <sheetView zoomScaleNormal="100" workbookViewId="0">
      <selection activeCell="A2" sqref="A2"/>
    </sheetView>
  </sheetViews>
  <sheetFormatPr defaultRowHeight="14.45"/>
  <cols>
    <col min="1" max="1" width="161.42578125" customWidth="1"/>
  </cols>
  <sheetData>
    <row r="1" spans="1:3" ht="287.45">
      <c r="A1" s="33" t="s">
        <v>76</v>
      </c>
    </row>
    <row r="2" spans="1:3" ht="119.1" thickBot="1">
      <c r="A2" s="34" t="s">
        <v>77</v>
      </c>
    </row>
    <row r="3" spans="1:3" ht="156" thickBot="1">
      <c r="A3" s="34" t="s">
        <v>78</v>
      </c>
    </row>
    <row r="4" spans="1:3">
      <c r="A4" s="37"/>
    </row>
    <row r="5" spans="1:3">
      <c r="A5" s="56"/>
      <c r="C5" s="35"/>
    </row>
    <row r="6" spans="1:3">
      <c r="A6" s="32"/>
    </row>
    <row r="7" spans="1:3">
      <c r="A7" s="32"/>
    </row>
    <row r="8" spans="1:3">
      <c r="A8" s="32"/>
    </row>
    <row r="9" spans="1:3">
      <c r="A9" s="32"/>
    </row>
    <row r="10" spans="1:3">
      <c r="A10" s="32"/>
    </row>
    <row r="11" spans="1:3">
      <c r="A11" s="32"/>
    </row>
    <row r="12" spans="1:3">
      <c r="A12" s="32"/>
    </row>
    <row r="13" spans="1:3">
      <c r="A13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Brijesh Yadav</dc:creator>
  <cp:keywords/>
  <dc:description/>
  <cp:lastModifiedBy>Yadav, Brijesh (Cognizant)</cp:lastModifiedBy>
  <cp:revision/>
  <dcterms:created xsi:type="dcterms:W3CDTF">2015-06-05T18:17:20Z</dcterms:created>
  <dcterms:modified xsi:type="dcterms:W3CDTF">2026-01-30T14:01:44Z</dcterms:modified>
  <cp:category/>
  <cp:contentStatus/>
</cp:coreProperties>
</file>